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nda\Downloads\"/>
    </mc:Choice>
  </mc:AlternateContent>
  <xr:revisionPtr revIDLastSave="0" documentId="13_ncr:1_{830A8A6A-1E62-42C8-840C-AAF27A12F64D}" xr6:coauthVersionLast="47" xr6:coauthVersionMax="47" xr10:uidLastSave="{00000000-0000-0000-0000-000000000000}"/>
  <bookViews>
    <workbookView xWindow="-120" yWindow="-120" windowWidth="29040" windowHeight="15840" activeTab="2" xr2:uid="{73611DB9-0633-4DDA-8F38-A12ADBE0A3DA}"/>
  </bookViews>
  <sheets>
    <sheet name="PRODUCCIÓN" sheetId="1" r:id="rId1"/>
    <sheet name="Recursos humanos" sheetId="3" r:id="rId2"/>
    <sheet name="Materia" sheetId="4" r:id="rId3"/>
    <sheet name="Capital" sheetId="5" r:id="rId4"/>
    <sheet name="Energia" sheetId="6" r:id="rId5"/>
    <sheet name="resumen" sheetId="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4" l="1"/>
  <c r="E14" i="3"/>
  <c r="C3" i="5" l="1"/>
  <c r="C5" i="5" s="1"/>
  <c r="B22" i="5" s="1"/>
  <c r="D9" i="2" s="1"/>
  <c r="F8" i="3"/>
  <c r="E8" i="3"/>
  <c r="E10" i="2"/>
  <c r="D10" i="2"/>
  <c r="D9" i="6"/>
  <c r="C9" i="6"/>
  <c r="D8" i="6"/>
  <c r="C8" i="6"/>
  <c r="C7" i="6"/>
  <c r="C19" i="5"/>
  <c r="B19" i="5"/>
  <c r="D11" i="5"/>
  <c r="C11" i="5"/>
  <c r="C10" i="5"/>
  <c r="D4" i="5"/>
  <c r="C4" i="5"/>
  <c r="B18" i="5" s="1"/>
  <c r="E8" i="2"/>
  <c r="D8" i="2"/>
  <c r="E39" i="4"/>
  <c r="E35" i="4"/>
  <c r="D35" i="4"/>
  <c r="D22" i="4"/>
  <c r="D20" i="4"/>
  <c r="D21" i="4"/>
  <c r="D33" i="4"/>
  <c r="E34" i="4"/>
  <c r="D34" i="4"/>
  <c r="E33" i="4"/>
  <c r="D32" i="4"/>
  <c r="E32" i="4" s="1"/>
  <c r="D8" i="4"/>
  <c r="D27" i="4" s="1"/>
  <c r="E8" i="4"/>
  <c r="E27" i="4" s="1"/>
  <c r="E6" i="4"/>
  <c r="E26" i="4" s="1"/>
  <c r="E28" i="4" s="1"/>
  <c r="E29" i="4" s="1"/>
  <c r="E30" i="4" s="1"/>
  <c r="D6" i="4"/>
  <c r="D26" i="4" s="1"/>
  <c r="F30" i="3"/>
  <c r="E30" i="3"/>
  <c r="F29" i="3"/>
  <c r="E29" i="3"/>
  <c r="F23" i="3"/>
  <c r="E23" i="3"/>
  <c r="F22" i="3"/>
  <c r="E22" i="3"/>
  <c r="E16" i="3"/>
  <c r="E33" i="3" s="1"/>
  <c r="D7" i="2" s="1"/>
  <c r="E15" i="3"/>
  <c r="F15" i="3"/>
  <c r="F16" i="3" s="1"/>
  <c r="F33" i="3" s="1"/>
  <c r="E7" i="2" s="1"/>
  <c r="F8" i="1"/>
  <c r="E8" i="1"/>
  <c r="F6" i="3"/>
  <c r="E6" i="3"/>
  <c r="E7" i="3" s="1"/>
  <c r="E5" i="3"/>
  <c r="F7" i="1"/>
  <c r="E7" i="1"/>
  <c r="E5" i="2"/>
  <c r="D5" i="2"/>
  <c r="E6" i="1"/>
  <c r="F6" i="1"/>
  <c r="D13" i="2" l="1"/>
  <c r="D14" i="2" s="1"/>
  <c r="C12" i="5"/>
  <c r="D12" i="5"/>
  <c r="D5" i="5"/>
  <c r="C22" i="5" s="1"/>
  <c r="E9" i="2" s="1"/>
  <c r="E13" i="2" s="1"/>
  <c r="E14" i="2" s="1"/>
  <c r="C18" i="5"/>
  <c r="D28" i="4"/>
  <c r="D29" i="4" s="1"/>
  <c r="D30" i="4" s="1"/>
  <c r="E9" i="4"/>
  <c r="D9" i="4"/>
  <c r="F7" i="3"/>
  <c r="D16" i="2" l="1"/>
  <c r="E13" i="4"/>
  <c r="E10" i="4"/>
  <c r="E20" i="4"/>
  <c r="E21" i="4" s="1"/>
  <c r="E22" i="4" s="1"/>
  <c r="D10" i="4"/>
  <c r="D13" i="4"/>
</calcChain>
</file>

<file path=xl/sharedStrings.xml><?xml version="1.0" encoding="utf-8"?>
<sst xmlns="http://schemas.openxmlformats.org/spreadsheetml/2006/main" count="140" uniqueCount="94">
  <si>
    <t xml:space="preserve">Mes 1 </t>
  </si>
  <si>
    <t>Produccion</t>
  </si>
  <si>
    <t>Comedor 6 puestos</t>
  </si>
  <si>
    <t>Comedor 8 puestos</t>
  </si>
  <si>
    <t>Ventas y producción</t>
  </si>
  <si>
    <t xml:space="preserve">Producto terminado </t>
  </si>
  <si>
    <t>Und</t>
  </si>
  <si>
    <t>Precio de venta</t>
  </si>
  <si>
    <t>$/Und</t>
  </si>
  <si>
    <t>%</t>
  </si>
  <si>
    <t>el 1% de la venta</t>
  </si>
  <si>
    <t>Mes 1</t>
  </si>
  <si>
    <t>Operarios</t>
  </si>
  <si>
    <t>Comedores de 6 puestos</t>
  </si>
  <si>
    <t>Comedores de 8 puestos</t>
  </si>
  <si>
    <t>$ por operario</t>
  </si>
  <si>
    <t>Precio total de opeerario</t>
  </si>
  <si>
    <t>% ingresos</t>
  </si>
  <si>
    <t>Ingreso prorrateado</t>
  </si>
  <si>
    <t>Costo por mano de obra</t>
  </si>
  <si>
    <t>Asesores</t>
  </si>
  <si>
    <t>$ por asesor * 1% de las ventas</t>
  </si>
  <si>
    <t>Precio total del asesor</t>
  </si>
  <si>
    <t>gerente</t>
  </si>
  <si>
    <t>Precio del gerente</t>
  </si>
  <si>
    <t>Persona encargada de compras</t>
  </si>
  <si>
    <t>Precio del gencargado de compras</t>
  </si>
  <si>
    <t xml:space="preserve">gastos totales de Recursos Humanos </t>
  </si>
  <si>
    <t>Comedor de 6 puestos</t>
  </si>
  <si>
    <t>Comedor de 8 puestos</t>
  </si>
  <si>
    <t>Madera de Cedro</t>
  </si>
  <si>
    <t>Precio unitario</t>
  </si>
  <si>
    <t>$/m2</t>
  </si>
  <si>
    <t>Cantidad usada para silla</t>
  </si>
  <si>
    <t>m2</t>
  </si>
  <si>
    <t>Total de cantidad de sillas</t>
  </si>
  <si>
    <t>Cantidad unitaria por mesa</t>
  </si>
  <si>
    <t>Total de cantidad de  mesas</t>
  </si>
  <si>
    <t>Cantidad de madera usada</t>
  </si>
  <si>
    <t>Perecio total de la madera</t>
  </si>
  <si>
    <t>$</t>
  </si>
  <si>
    <t xml:space="preserve">Anti fluido </t>
  </si>
  <si>
    <t>Precio total del antifluido</t>
  </si>
  <si>
    <t>Tela</t>
  </si>
  <si>
    <t xml:space="preserve">Cantidad </t>
  </si>
  <si>
    <t>Imunizante</t>
  </si>
  <si>
    <t>$/3kg</t>
  </si>
  <si>
    <t>Rendimiento</t>
  </si>
  <si>
    <t>gramos/m2</t>
  </si>
  <si>
    <t>Cantidad necesario del imunizante</t>
  </si>
  <si>
    <t>gramos</t>
  </si>
  <si>
    <t>kg</t>
  </si>
  <si>
    <t>Precio del imunizante total</t>
  </si>
  <si>
    <t xml:space="preserve">Pegante </t>
  </si>
  <si>
    <t>$/20kg</t>
  </si>
  <si>
    <t>Gramos/m2</t>
  </si>
  <si>
    <t>Utilizacion del silla</t>
  </si>
  <si>
    <t>Utilizacion del mesa</t>
  </si>
  <si>
    <t>cantidad de pegante neccesasrio</t>
  </si>
  <si>
    <t>Precio total del pegante</t>
  </si>
  <si>
    <t>Laca</t>
  </si>
  <si>
    <t>$/ml</t>
  </si>
  <si>
    <t>ml/m2</t>
  </si>
  <si>
    <t>CANTIDAD UTILIZADA</t>
  </si>
  <si>
    <t>ML</t>
  </si>
  <si>
    <t>precio de la laca</t>
  </si>
  <si>
    <t>Precio total</t>
  </si>
  <si>
    <t>Capital fijo</t>
  </si>
  <si>
    <t>Instalaciones</t>
  </si>
  <si>
    <t>Costo de oportunidad</t>
  </si>
  <si>
    <t>Maquinaria</t>
  </si>
  <si>
    <t xml:space="preserve">Depreciación </t>
  </si>
  <si>
    <t>Depreciado y prorteado</t>
  </si>
  <si>
    <t>Capital de Trabajo</t>
  </si>
  <si>
    <t>proreteado</t>
  </si>
  <si>
    <t>Costo ponderado capital de trabajo</t>
  </si>
  <si>
    <t>Costo capital total</t>
  </si>
  <si>
    <t>Servicios</t>
  </si>
  <si>
    <t>Energía</t>
  </si>
  <si>
    <t>Agua</t>
  </si>
  <si>
    <t>Suma de los servicios</t>
  </si>
  <si>
    <t>% ingreoso</t>
  </si>
  <si>
    <t>Prorrateado</t>
  </si>
  <si>
    <t xml:space="preserve">Comedor 8 puestos </t>
  </si>
  <si>
    <t>Oit</t>
  </si>
  <si>
    <t>Ii,H,t</t>
  </si>
  <si>
    <t>Ii,M,t</t>
  </si>
  <si>
    <t>Ii,C,t</t>
  </si>
  <si>
    <t>Ii,E,t</t>
  </si>
  <si>
    <t>Ii,Xt</t>
  </si>
  <si>
    <t>Li</t>
  </si>
  <si>
    <t>Pti</t>
  </si>
  <si>
    <t>PTE</t>
  </si>
  <si>
    <t>Estos calculos son correctos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</si>
</sst>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2" formatCode="_-&quot;$&quot;\ * #,##0_-;\-&quot;$&quot;\ * #,##0_-;_-&quot;$&quot;\ * &quot;-&quot;_-;_-@_-"/>
    <numFmt numFmtId="43" formatCode="_-* #,##0.00_-;\-* #,##0.00_-;_-* &quot;-&quot;??_-;_-@_-"/>
    <numFmt numFmtId="164" formatCode="_-&quot;XDR&quot;* #,##0_-;\-&quot;XDR&quot;* #,##0_-;_-&quot;XDR&quot;* &quot;-&quot;_-;_-@_-"/>
    <numFmt numFmtId="165" formatCode="_-&quot;XDR&quot;* #,##0.00_-;\-&quot;XDR&quot;* #,##0.00_-;_-&quot;XDR&quot;* &quot;-&quot;??_-;_-@_-"/>
    <numFmt numFmtId="166" formatCode="_-[$$-409]* #,##0.00_ ;_-[$$-409]* \-#,##0.00\ ;_-[$$-409]* &quot;-&quot;??_ ;_-@_ "/>
    <numFmt numFmtId="167" formatCode="_-[$$-409]* #,##0.0_ ;_-[$$-409]* \-#,##0.0\ ;_-[$$-409]* &quot;-&quot;??_ ;_-@_ "/>
    <numFmt numFmtId="168" formatCode="_-[$$-409]* #,##0_ ;_-[$$-409]* \-#,##0\ ;_-[$$-409]* &quot;-&quot;??_ ;_-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/>
    </xf>
    <xf numFmtId="0" fontId="0" fillId="0" borderId="7" xfId="0" applyBorder="1"/>
    <xf numFmtId="0" fontId="2" fillId="2" borderId="8" xfId="0" applyFont="1" applyFill="1" applyBorder="1" applyAlignment="1">
      <alignment vertical="center"/>
    </xf>
    <xf numFmtId="164" fontId="0" fillId="0" borderId="7" xfId="3" applyFont="1" applyBorder="1"/>
    <xf numFmtId="42" fontId="0" fillId="0" borderId="7" xfId="0" applyNumberFormat="1" applyBorder="1"/>
    <xf numFmtId="166" fontId="0" fillId="0" borderId="7" xfId="3" applyNumberFormat="1" applyFont="1" applyBorder="1"/>
    <xf numFmtId="166" fontId="0" fillId="0" borderId="0" xfId="0" applyNumberFormat="1"/>
    <xf numFmtId="166" fontId="0" fillId="0" borderId="7" xfId="0" applyNumberFormat="1" applyBorder="1"/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/>
    </xf>
    <xf numFmtId="43" fontId="0" fillId="0" borderId="12" xfId="0" applyNumberFormat="1" applyBorder="1"/>
    <xf numFmtId="166" fontId="0" fillId="0" borderId="2" xfId="2" applyNumberFormat="1" applyFont="1" applyBorder="1"/>
    <xf numFmtId="0" fontId="2" fillId="2" borderId="13" xfId="0" applyFont="1" applyFill="1" applyBorder="1" applyAlignment="1">
      <alignment horizontal="center" vertical="center"/>
    </xf>
    <xf numFmtId="166" fontId="0" fillId="0" borderId="7" xfId="2" applyNumberFormat="1" applyFont="1" applyBorder="1"/>
    <xf numFmtId="166" fontId="0" fillId="0" borderId="7" xfId="2" applyNumberFormat="1" applyFont="1" applyBorder="1" applyAlignment="1">
      <alignment horizontal="center"/>
    </xf>
    <xf numFmtId="0" fontId="2" fillId="2" borderId="14" xfId="0" applyFont="1" applyFill="1" applyBorder="1" applyAlignment="1">
      <alignment horizontal="center" vertical="center"/>
    </xf>
    <xf numFmtId="166" fontId="0" fillId="0" borderId="15" xfId="0" applyNumberFormat="1" applyBorder="1"/>
    <xf numFmtId="0" fontId="2" fillId="2" borderId="7" xfId="0" applyFont="1" applyFill="1" applyBorder="1" applyAlignment="1">
      <alignment horizontal="center" vertical="center"/>
    </xf>
    <xf numFmtId="167" fontId="0" fillId="0" borderId="7" xfId="0" applyNumberFormat="1" applyBorder="1"/>
    <xf numFmtId="9" fontId="0" fillId="0" borderId="7" xfId="4" applyFont="1" applyBorder="1"/>
    <xf numFmtId="0" fontId="2" fillId="2" borderId="0" xfId="0" applyFont="1" applyFill="1" applyAlignment="1">
      <alignment horizontal="center" vertical="center"/>
    </xf>
    <xf numFmtId="9" fontId="0" fillId="0" borderId="0" xfId="4" applyFont="1"/>
    <xf numFmtId="10" fontId="0" fillId="0" borderId="0" xfId="4" applyNumberFormat="1" applyFont="1"/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43" fontId="0" fillId="0" borderId="0" xfId="1" applyFont="1" applyBorder="1"/>
    <xf numFmtId="43" fontId="0" fillId="3" borderId="0" xfId="1" applyFont="1" applyFill="1" applyBorder="1"/>
    <xf numFmtId="166" fontId="0" fillId="3" borderId="0" xfId="3" applyNumberFormat="1" applyFont="1" applyFill="1" applyBorder="1"/>
    <xf numFmtId="9" fontId="2" fillId="2" borderId="17" xfId="0" applyNumberFormat="1" applyFont="1" applyFill="1" applyBorder="1" applyAlignment="1">
      <alignment horizontal="center" vertical="center"/>
    </xf>
    <xf numFmtId="43" fontId="0" fillId="0" borderId="0" xfId="0" applyNumberFormat="1"/>
    <xf numFmtId="166" fontId="0" fillId="3" borderId="0" xfId="0" applyNumberFormat="1" applyFill="1"/>
    <xf numFmtId="168" fontId="0" fillId="0" borderId="7" xfId="0" applyNumberFormat="1" applyBorder="1"/>
    <xf numFmtId="166" fontId="0" fillId="0" borderId="10" xfId="3" applyNumberFormat="1" applyFont="1" applyBorder="1"/>
    <xf numFmtId="43" fontId="0" fillId="3" borderId="0" xfId="0" applyNumberFormat="1" applyFill="1"/>
    <xf numFmtId="166" fontId="0" fillId="3" borderId="7" xfId="3" applyNumberFormat="1" applyFont="1" applyFill="1" applyBorder="1"/>
    <xf numFmtId="9" fontId="0" fillId="0" borderId="7" xfId="0" applyNumberFormat="1" applyBorder="1"/>
    <xf numFmtId="43" fontId="0" fillId="0" borderId="7" xfId="0" applyNumberFormat="1" applyBorder="1"/>
    <xf numFmtId="168" fontId="0" fillId="0" borderId="2" xfId="2" applyNumberFormat="1" applyFont="1" applyBorder="1"/>
    <xf numFmtId="0" fontId="0" fillId="4" borderId="0" xfId="0" applyFill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0" xfId="0" applyFill="1"/>
  </cellXfs>
  <cellStyles count="5">
    <cellStyle name="Millares" xfId="1" builtinId="3"/>
    <cellStyle name="Moneda" xfId="2" builtinId="4"/>
    <cellStyle name="Moneda [0]" xfId="3" builtinId="7"/>
    <cellStyle name="Normal" xfId="0" builtinId="0"/>
    <cellStyle name="Porcentaje" xfId="4" builtinId="5"/>
  </cellStyles>
  <dxfs count="0"/>
  <tableStyles count="1" defaultTableStyle="TableStyleMedium2" defaultPivotStyle="PivotStyleLight16">
    <tableStyle name="Invisible" pivot="0" table="0" count="0" xr9:uid="{9DCCD2B8-1E31-41D2-A2DE-BE81FC37307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04785-60F9-4F3E-A897-B2D884E9C56F}">
  <dimension ref="B1:F10"/>
  <sheetViews>
    <sheetView workbookViewId="0">
      <selection activeCell="E10" sqref="E10:F12"/>
    </sheetView>
  </sheetViews>
  <sheetFormatPr baseColWidth="10" defaultColWidth="11.42578125" defaultRowHeight="15" x14ac:dyDescent="0.25"/>
  <cols>
    <col min="2" max="7" width="30.7109375" customWidth="1"/>
  </cols>
  <sheetData>
    <row r="1" spans="2:6" ht="15.75" thickBot="1" x14ac:dyDescent="0.3"/>
    <row r="2" spans="2:6" ht="15.75" thickBot="1" x14ac:dyDescent="0.3">
      <c r="E2" s="44" t="s">
        <v>0</v>
      </c>
      <c r="F2" s="45"/>
    </row>
    <row r="3" spans="2:6" ht="15.75" thickBot="1" x14ac:dyDescent="0.3">
      <c r="B3" s="46" t="s">
        <v>1</v>
      </c>
      <c r="C3" s="47"/>
      <c r="D3" s="48"/>
      <c r="E3" s="1" t="s">
        <v>2</v>
      </c>
      <c r="F3" s="1" t="s">
        <v>3</v>
      </c>
    </row>
    <row r="4" spans="2:6" ht="15.75" thickBot="1" x14ac:dyDescent="0.3">
      <c r="B4" s="3" t="s">
        <v>4</v>
      </c>
      <c r="C4" s="1" t="s">
        <v>5</v>
      </c>
      <c r="D4" s="1" t="s">
        <v>6</v>
      </c>
      <c r="E4" s="4">
        <v>37</v>
      </c>
      <c r="F4" s="4">
        <v>20</v>
      </c>
    </row>
    <row r="5" spans="2:6" x14ac:dyDescent="0.25">
      <c r="B5" s="5"/>
      <c r="C5" s="1" t="s">
        <v>7</v>
      </c>
      <c r="D5" s="1" t="s">
        <v>8</v>
      </c>
      <c r="E5" s="8">
        <v>2750000</v>
      </c>
      <c r="F5" s="7">
        <v>3480000</v>
      </c>
    </row>
    <row r="6" spans="2:6" x14ac:dyDescent="0.25">
      <c r="E6" s="10">
        <f>E5*E4</f>
        <v>101750000</v>
      </c>
      <c r="F6" s="10">
        <f>F5*F4</f>
        <v>69600000</v>
      </c>
    </row>
    <row r="7" spans="2:6" x14ac:dyDescent="0.25">
      <c r="D7" t="s">
        <v>9</v>
      </c>
      <c r="E7" s="26">
        <f>E6/(E6+F6)</f>
        <v>0.59381383133936383</v>
      </c>
      <c r="F7" s="25">
        <f>F6/(E6+F6)</f>
        <v>0.40618616866063612</v>
      </c>
    </row>
    <row r="8" spans="2:6" x14ac:dyDescent="0.25">
      <c r="D8" t="s">
        <v>10</v>
      </c>
      <c r="E8" s="9">
        <f>E6*1%</f>
        <v>1017500</v>
      </c>
      <c r="F8" s="9">
        <f>F6*1%</f>
        <v>696000</v>
      </c>
    </row>
    <row r="10" spans="2:6" x14ac:dyDescent="0.25">
      <c r="C10" s="9"/>
    </row>
  </sheetData>
  <mergeCells count="2">
    <mergeCell ref="E2:F2"/>
    <mergeCell ref="B3:D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E6A53-7FC2-4F0C-8824-530E49856477}">
  <dimension ref="B1:F33"/>
  <sheetViews>
    <sheetView zoomScale="85" zoomScaleNormal="85" workbookViewId="0">
      <selection activeCell="G5" sqref="G5:L8"/>
    </sheetView>
  </sheetViews>
  <sheetFormatPr baseColWidth="10" defaultColWidth="11.42578125" defaultRowHeight="15" x14ac:dyDescent="0.25"/>
  <cols>
    <col min="2" max="6" width="25.42578125" customWidth="1"/>
    <col min="7" max="7" width="30" bestFit="1" customWidth="1"/>
  </cols>
  <sheetData>
    <row r="1" spans="2:6" ht="15.75" thickBot="1" x14ac:dyDescent="0.3"/>
    <row r="2" spans="2:6" ht="15.75" thickBot="1" x14ac:dyDescent="0.3">
      <c r="E2" s="46" t="s">
        <v>11</v>
      </c>
      <c r="F2" s="48"/>
    </row>
    <row r="3" spans="2:6" ht="15.75" thickBot="1" x14ac:dyDescent="0.3">
      <c r="B3" s="49" t="s">
        <v>12</v>
      </c>
      <c r="C3" s="50"/>
      <c r="D3" s="51"/>
      <c r="E3" s="1" t="s">
        <v>13</v>
      </c>
      <c r="F3" s="1" t="s">
        <v>14</v>
      </c>
    </row>
    <row r="4" spans="2:6" ht="15.75" thickBot="1" x14ac:dyDescent="0.3">
      <c r="B4" s="49" t="s">
        <v>15</v>
      </c>
      <c r="C4" s="50"/>
      <c r="D4" s="51"/>
      <c r="E4" s="8">
        <v>1950000</v>
      </c>
      <c r="F4" s="6"/>
    </row>
    <row r="5" spans="2:6" ht="15.75" thickBot="1" x14ac:dyDescent="0.3">
      <c r="B5" s="49" t="s">
        <v>16</v>
      </c>
      <c r="C5" s="50"/>
      <c r="D5" s="51"/>
      <c r="E5" s="8">
        <f>14*E4</f>
        <v>27300000</v>
      </c>
      <c r="F5" s="6"/>
    </row>
    <row r="6" spans="2:6" ht="15.75" thickBot="1" x14ac:dyDescent="0.3">
      <c r="B6" s="49" t="s">
        <v>17</v>
      </c>
      <c r="C6" s="50"/>
      <c r="D6" s="51"/>
      <c r="E6" s="23">
        <f>PRODUCCIÓN!E7</f>
        <v>0.59381383133936383</v>
      </c>
      <c r="F6" s="23">
        <f>PRODUCCIÓN!F7</f>
        <v>0.40618616866063612</v>
      </c>
    </row>
    <row r="7" spans="2:6" x14ac:dyDescent="0.25">
      <c r="B7" s="46" t="s">
        <v>18</v>
      </c>
      <c r="C7" s="47"/>
      <c r="D7" s="52"/>
      <c r="E7" s="8">
        <f>$E$5*E6</f>
        <v>16211117.595564632</v>
      </c>
      <c r="F7" s="8">
        <f>$E$5*F6</f>
        <v>11088882.404435366</v>
      </c>
    </row>
    <row r="8" spans="2:6" x14ac:dyDescent="0.25">
      <c r="C8" t="s">
        <v>19</v>
      </c>
      <c r="E8" s="9">
        <f>E7/14</f>
        <v>1157936.9711117593</v>
      </c>
      <c r="F8" s="9">
        <f>F7/14</f>
        <v>792063.02888824046</v>
      </c>
    </row>
    <row r="10" spans="2:6" ht="15.75" thickBot="1" x14ac:dyDescent="0.3"/>
    <row r="11" spans="2:6" ht="15.75" thickBot="1" x14ac:dyDescent="0.3">
      <c r="E11" s="46" t="s">
        <v>11</v>
      </c>
      <c r="F11" s="48"/>
    </row>
    <row r="12" spans="2:6" ht="15.75" thickBot="1" x14ac:dyDescent="0.3">
      <c r="B12" s="49" t="s">
        <v>20</v>
      </c>
      <c r="C12" s="50"/>
      <c r="D12" s="51"/>
      <c r="E12" s="1" t="s">
        <v>13</v>
      </c>
      <c r="F12" s="1" t="s">
        <v>14</v>
      </c>
    </row>
    <row r="13" spans="2:6" ht="15.75" thickBot="1" x14ac:dyDescent="0.3">
      <c r="B13" s="49" t="s">
        <v>21</v>
      </c>
      <c r="C13" s="50"/>
      <c r="D13" s="51"/>
      <c r="E13" s="8">
        <v>1000000</v>
      </c>
      <c r="F13" s="6"/>
    </row>
    <row r="14" spans="2:6" ht="15.75" thickBot="1" x14ac:dyDescent="0.3">
      <c r="B14" s="49" t="s">
        <v>22</v>
      </c>
      <c r="C14" s="50"/>
      <c r="D14" s="51"/>
      <c r="E14" s="8">
        <f>(E13+PRODUCCIÓN!E8+PRODUCCIÓN!F8)*2</f>
        <v>5427000</v>
      </c>
      <c r="F14" s="6"/>
    </row>
    <row r="15" spans="2:6" ht="15.75" thickBot="1" x14ac:dyDescent="0.3">
      <c r="B15" s="49" t="s">
        <v>17</v>
      </c>
      <c r="C15" s="50"/>
      <c r="D15" s="51"/>
      <c r="E15" s="23">
        <f>PRODUCCIÓN!E7</f>
        <v>0.59381383133936383</v>
      </c>
      <c r="F15" s="23">
        <f>PRODUCCIÓN!F7</f>
        <v>0.40618616866063612</v>
      </c>
    </row>
    <row r="16" spans="2:6" x14ac:dyDescent="0.25">
      <c r="B16" s="46" t="s">
        <v>18</v>
      </c>
      <c r="C16" s="47"/>
      <c r="D16" s="52"/>
      <c r="E16" s="8">
        <f>E15*$E$14</f>
        <v>3222627.6626787274</v>
      </c>
      <c r="F16" s="8">
        <f>F15*$E$14</f>
        <v>2204372.3373212721</v>
      </c>
    </row>
    <row r="18" spans="2:6" ht="15.75" thickBot="1" x14ac:dyDescent="0.3"/>
    <row r="19" spans="2:6" ht="15.75" thickBot="1" x14ac:dyDescent="0.3">
      <c r="E19" s="46" t="s">
        <v>11</v>
      </c>
      <c r="F19" s="48"/>
    </row>
    <row r="20" spans="2:6" ht="15.75" thickBot="1" x14ac:dyDescent="0.3">
      <c r="B20" s="49" t="s">
        <v>23</v>
      </c>
      <c r="C20" s="50"/>
      <c r="D20" s="51"/>
      <c r="E20" s="1" t="s">
        <v>13</v>
      </c>
      <c r="F20" s="1" t="s">
        <v>14</v>
      </c>
    </row>
    <row r="21" spans="2:6" ht="15.75" thickBot="1" x14ac:dyDescent="0.3">
      <c r="B21" s="49" t="s">
        <v>24</v>
      </c>
      <c r="C21" s="50"/>
      <c r="D21" s="51"/>
      <c r="E21" s="8">
        <v>12500000</v>
      </c>
      <c r="F21" s="6"/>
    </row>
    <row r="22" spans="2:6" ht="15.75" thickBot="1" x14ac:dyDescent="0.3">
      <c r="B22" s="49" t="s">
        <v>17</v>
      </c>
      <c r="C22" s="50"/>
      <c r="D22" s="51"/>
      <c r="E22" s="23">
        <f>PRODUCCIÓN!E7</f>
        <v>0.59381383133936383</v>
      </c>
      <c r="F22" s="23">
        <f>PRODUCCIÓN!F7</f>
        <v>0.40618616866063612</v>
      </c>
    </row>
    <row r="23" spans="2:6" x14ac:dyDescent="0.25">
      <c r="B23" s="46" t="s">
        <v>18</v>
      </c>
      <c r="C23" s="47"/>
      <c r="D23" s="52"/>
      <c r="E23" s="8">
        <f>E22*$E$21</f>
        <v>7422672.8917420479</v>
      </c>
      <c r="F23" s="8">
        <f>F22*$E$21</f>
        <v>5077327.1082579512</v>
      </c>
    </row>
    <row r="25" spans="2:6" ht="15.75" thickBot="1" x14ac:dyDescent="0.3"/>
    <row r="26" spans="2:6" ht="15.75" thickBot="1" x14ac:dyDescent="0.3">
      <c r="E26" s="46" t="s">
        <v>11</v>
      </c>
      <c r="F26" s="48"/>
    </row>
    <row r="27" spans="2:6" ht="15.75" thickBot="1" x14ac:dyDescent="0.3">
      <c r="B27" s="49" t="s">
        <v>25</v>
      </c>
      <c r="C27" s="50"/>
      <c r="D27" s="51"/>
      <c r="E27" s="1" t="s">
        <v>13</v>
      </c>
      <c r="F27" s="1" t="s">
        <v>14</v>
      </c>
    </row>
    <row r="28" spans="2:6" ht="15.75" thickBot="1" x14ac:dyDescent="0.3">
      <c r="B28" s="49" t="s">
        <v>26</v>
      </c>
      <c r="C28" s="50"/>
      <c r="D28" s="51"/>
      <c r="E28" s="8">
        <v>3500000</v>
      </c>
      <c r="F28" s="6"/>
    </row>
    <row r="29" spans="2:6" ht="15.75" thickBot="1" x14ac:dyDescent="0.3">
      <c r="B29" s="49" t="s">
        <v>17</v>
      </c>
      <c r="C29" s="50"/>
      <c r="D29" s="51"/>
      <c r="E29" s="23">
        <f>PRODUCCIÓN!E7</f>
        <v>0.59381383133936383</v>
      </c>
      <c r="F29" s="23">
        <f>PRODUCCIÓN!F7</f>
        <v>0.40618616866063612</v>
      </c>
    </row>
    <row r="30" spans="2:6" x14ac:dyDescent="0.25">
      <c r="B30" s="46" t="s">
        <v>18</v>
      </c>
      <c r="C30" s="47"/>
      <c r="D30" s="52"/>
      <c r="E30" s="8">
        <f>$E$28*E29</f>
        <v>2078348.4096877733</v>
      </c>
      <c r="F30" s="8">
        <f>$E$28*F29</f>
        <v>1421651.5903122264</v>
      </c>
    </row>
    <row r="32" spans="2:6" ht="15.75" thickBot="1" x14ac:dyDescent="0.3"/>
    <row r="33" spans="2:6" ht="15.75" thickBot="1" x14ac:dyDescent="0.3">
      <c r="B33" s="49" t="s">
        <v>27</v>
      </c>
      <c r="C33" s="50"/>
      <c r="D33" s="51"/>
      <c r="E33" s="9">
        <f>E30+E23+E16+E7</f>
        <v>28934766.559673183</v>
      </c>
      <c r="F33" s="9">
        <f>F30+F23+F16+F7</f>
        <v>19792233.440326817</v>
      </c>
    </row>
  </sheetData>
  <mergeCells count="23">
    <mergeCell ref="B16:D16"/>
    <mergeCell ref="E2:F2"/>
    <mergeCell ref="B3:D3"/>
    <mergeCell ref="B4:D4"/>
    <mergeCell ref="B6:D6"/>
    <mergeCell ref="B7:D7"/>
    <mergeCell ref="B5:D5"/>
    <mergeCell ref="E11:F11"/>
    <mergeCell ref="B12:D12"/>
    <mergeCell ref="B13:D13"/>
    <mergeCell ref="B14:D14"/>
    <mergeCell ref="B15:D15"/>
    <mergeCell ref="B33:D33"/>
    <mergeCell ref="E19:F19"/>
    <mergeCell ref="B20:D20"/>
    <mergeCell ref="B21:D21"/>
    <mergeCell ref="B22:D22"/>
    <mergeCell ref="B23:D23"/>
    <mergeCell ref="E26:F26"/>
    <mergeCell ref="B27:D27"/>
    <mergeCell ref="B28:D28"/>
    <mergeCell ref="B29:D29"/>
    <mergeCell ref="B30:D3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ED9A-03B9-4E6B-BB04-6CA13961D71A}">
  <dimension ref="A1:E39"/>
  <sheetViews>
    <sheetView tabSelected="1" workbookViewId="0"/>
  </sheetViews>
  <sheetFormatPr baseColWidth="10" defaultColWidth="11.42578125" defaultRowHeight="15" x14ac:dyDescent="0.25"/>
  <cols>
    <col min="1" max="1" width="30.7109375" customWidth="1"/>
    <col min="2" max="5" width="24.5703125" customWidth="1"/>
    <col min="6" max="6" width="47.85546875" bestFit="1" customWidth="1"/>
  </cols>
  <sheetData>
    <row r="1" spans="1:5" ht="15.75" thickBot="1" x14ac:dyDescent="0.3">
      <c r="D1" s="46" t="s">
        <v>11</v>
      </c>
      <c r="E1" s="48"/>
    </row>
    <row r="2" spans="1:5" ht="15.75" thickBot="1" x14ac:dyDescent="0.3">
      <c r="D2" s="1" t="s">
        <v>28</v>
      </c>
      <c r="E2" s="1" t="s">
        <v>29</v>
      </c>
    </row>
    <row r="3" spans="1:5" ht="15.75" thickBot="1" x14ac:dyDescent="0.3">
      <c r="A3" s="53" t="s">
        <v>30</v>
      </c>
      <c r="B3" s="54"/>
      <c r="C3" s="54"/>
      <c r="D3" s="54"/>
      <c r="E3" s="54"/>
    </row>
    <row r="4" spans="1:5" ht="15.75" thickBot="1" x14ac:dyDescent="0.3">
      <c r="A4" s="1" t="s">
        <v>31</v>
      </c>
      <c r="B4" s="46" t="s">
        <v>32</v>
      </c>
      <c r="C4" s="48"/>
      <c r="D4" s="8">
        <v>120000</v>
      </c>
      <c r="E4" s="8">
        <v>120000</v>
      </c>
    </row>
    <row r="5" spans="1:5" ht="15.75" thickBot="1" x14ac:dyDescent="0.3">
      <c r="A5" s="27" t="s">
        <v>33</v>
      </c>
      <c r="B5" s="50" t="s">
        <v>34</v>
      </c>
      <c r="C5" s="50"/>
      <c r="D5" s="30">
        <v>0.8</v>
      </c>
      <c r="E5" s="30">
        <v>0.8</v>
      </c>
    </row>
    <row r="6" spans="1:5" ht="15.75" thickBot="1" x14ac:dyDescent="0.3">
      <c r="A6" s="27" t="s">
        <v>35</v>
      </c>
      <c r="B6" s="50" t="s">
        <v>34</v>
      </c>
      <c r="C6" s="50"/>
      <c r="D6" s="30">
        <f>PRODUCCIÓN!E4*6*Materia!D5</f>
        <v>177.60000000000002</v>
      </c>
      <c r="E6" s="30">
        <f>PRODUCCIÓN!F4*8*Materia!E5</f>
        <v>128</v>
      </c>
    </row>
    <row r="7" spans="1:5" ht="15.75" thickBot="1" x14ac:dyDescent="0.3">
      <c r="A7" s="27" t="s">
        <v>36</v>
      </c>
      <c r="B7" s="50" t="s">
        <v>34</v>
      </c>
      <c r="C7" s="50"/>
      <c r="D7" s="30">
        <v>1.2</v>
      </c>
      <c r="E7" s="30">
        <v>1.8</v>
      </c>
    </row>
    <row r="8" spans="1:5" ht="15.75" thickBot="1" x14ac:dyDescent="0.3">
      <c r="A8" s="27" t="s">
        <v>37</v>
      </c>
      <c r="B8" s="50" t="s">
        <v>34</v>
      </c>
      <c r="C8" s="50"/>
      <c r="D8" s="30">
        <f>D7*PRODUCCIÓN!E4</f>
        <v>44.4</v>
      </c>
      <c r="E8" s="30">
        <f>E7*PRODUCCIÓN!F4</f>
        <v>36</v>
      </c>
    </row>
    <row r="9" spans="1:5" ht="15.75" thickBot="1" x14ac:dyDescent="0.3">
      <c r="A9" s="27" t="s">
        <v>38</v>
      </c>
      <c r="B9" s="50" t="s">
        <v>34</v>
      </c>
      <c r="C9" s="50"/>
      <c r="D9" s="30">
        <f>D8+D6</f>
        <v>222.00000000000003</v>
      </c>
      <c r="E9" s="30">
        <f>E8+E6</f>
        <v>164</v>
      </c>
    </row>
    <row r="10" spans="1:5" ht="15.75" thickBot="1" x14ac:dyDescent="0.3">
      <c r="A10" s="27" t="s">
        <v>39</v>
      </c>
      <c r="B10" s="50" t="s">
        <v>40</v>
      </c>
      <c r="C10" s="50"/>
      <c r="D10" s="31">
        <f>D4*D9</f>
        <v>26640000.000000004</v>
      </c>
      <c r="E10" s="31">
        <f>E4*E9</f>
        <v>19680000</v>
      </c>
    </row>
    <row r="11" spans="1:5" ht="15.75" thickBot="1" x14ac:dyDescent="0.3">
      <c r="A11" s="53" t="s">
        <v>41</v>
      </c>
      <c r="B11" s="54"/>
      <c r="C11" s="54"/>
      <c r="D11" s="54"/>
      <c r="E11" s="54"/>
    </row>
    <row r="12" spans="1:5" ht="15.75" thickBot="1" x14ac:dyDescent="0.3">
      <c r="A12" s="1" t="s">
        <v>31</v>
      </c>
      <c r="B12" s="46" t="s">
        <v>32</v>
      </c>
      <c r="C12" s="48"/>
      <c r="D12" s="8">
        <v>28000</v>
      </c>
      <c r="E12" s="8">
        <v>28000</v>
      </c>
    </row>
    <row r="13" spans="1:5" ht="15.75" thickBot="1" x14ac:dyDescent="0.3">
      <c r="A13" s="27" t="s">
        <v>42</v>
      </c>
      <c r="B13" s="50" t="s">
        <v>40</v>
      </c>
      <c r="C13" s="50"/>
      <c r="D13" s="32">
        <f>D12*D9</f>
        <v>6216000.0000000009</v>
      </c>
      <c r="E13" s="32">
        <f>E12*E9</f>
        <v>4592000</v>
      </c>
    </row>
    <row r="14" spans="1:5" ht="15.75" thickBot="1" x14ac:dyDescent="0.3">
      <c r="A14" s="53" t="s">
        <v>43</v>
      </c>
      <c r="B14" s="54"/>
      <c r="C14" s="54"/>
      <c r="D14" s="54"/>
      <c r="E14" s="54"/>
    </row>
    <row r="15" spans="1:5" ht="15.75" thickBot="1" x14ac:dyDescent="0.3">
      <c r="A15" s="1" t="s">
        <v>44</v>
      </c>
      <c r="B15" s="46" t="s">
        <v>6</v>
      </c>
      <c r="C15" s="48"/>
      <c r="D15" s="4">
        <v>0</v>
      </c>
      <c r="E15" s="4">
        <v>0</v>
      </c>
    </row>
    <row r="16" spans="1:5" ht="15.75" thickBot="1" x14ac:dyDescent="0.3">
      <c r="A16" s="1" t="s">
        <v>31</v>
      </c>
      <c r="B16" s="46" t="s">
        <v>8</v>
      </c>
      <c r="C16" s="48"/>
      <c r="D16" s="4">
        <v>0</v>
      </c>
      <c r="E16" s="4">
        <v>0</v>
      </c>
    </row>
    <row r="17" spans="1:5" ht="15.75" thickBot="1" x14ac:dyDescent="0.3">
      <c r="A17" s="53" t="s">
        <v>45</v>
      </c>
      <c r="B17" s="54"/>
      <c r="C17" s="54"/>
      <c r="D17" s="54"/>
      <c r="E17" s="54"/>
    </row>
    <row r="18" spans="1:5" ht="15.75" thickBot="1" x14ac:dyDescent="0.3">
      <c r="A18" s="1" t="s">
        <v>31</v>
      </c>
      <c r="B18" s="46" t="s">
        <v>46</v>
      </c>
      <c r="C18" s="48"/>
      <c r="D18" s="8">
        <v>80500</v>
      </c>
      <c r="E18" s="8">
        <v>80500</v>
      </c>
    </row>
    <row r="19" spans="1:5" ht="15.75" thickBot="1" x14ac:dyDescent="0.3">
      <c r="A19" s="27" t="s">
        <v>47</v>
      </c>
      <c r="B19" s="50" t="s">
        <v>48</v>
      </c>
      <c r="C19" s="50"/>
      <c r="D19" s="30">
        <v>250</v>
      </c>
      <c r="E19" s="30">
        <v>250</v>
      </c>
    </row>
    <row r="20" spans="1:5" ht="15.75" thickBot="1" x14ac:dyDescent="0.3">
      <c r="A20" s="27" t="s">
        <v>49</v>
      </c>
      <c r="B20" s="50" t="s">
        <v>50</v>
      </c>
      <c r="C20" s="50"/>
      <c r="D20" s="30">
        <f>D19*D9</f>
        <v>55500.000000000007</v>
      </c>
      <c r="E20" s="30">
        <f>E19*E9</f>
        <v>41000</v>
      </c>
    </row>
    <row r="21" spans="1:5" ht="15.75" thickBot="1" x14ac:dyDescent="0.3">
      <c r="A21" s="27" t="s">
        <v>49</v>
      </c>
      <c r="B21" s="50" t="s">
        <v>51</v>
      </c>
      <c r="C21" s="50"/>
      <c r="D21" s="30">
        <f>(D20)/(1000)</f>
        <v>55.500000000000007</v>
      </c>
      <c r="E21" s="30">
        <f>(E20)/(1000)</f>
        <v>41</v>
      </c>
    </row>
    <row r="22" spans="1:5" ht="15.75" thickBot="1" x14ac:dyDescent="0.3">
      <c r="A22" s="27" t="s">
        <v>52</v>
      </c>
      <c r="B22" s="50" t="s">
        <v>40</v>
      </c>
      <c r="C22" s="50"/>
      <c r="D22" s="31">
        <f>(D21)/(3)*D18</f>
        <v>1489250.0000000002</v>
      </c>
      <c r="E22" s="31">
        <f>(E21)/(3)*E18</f>
        <v>1100166.6666666665</v>
      </c>
    </row>
    <row r="23" spans="1:5" ht="15.75" thickBot="1" x14ac:dyDescent="0.3">
      <c r="A23" s="53" t="s">
        <v>53</v>
      </c>
      <c r="B23" s="54"/>
      <c r="C23" s="54"/>
      <c r="D23" s="54"/>
      <c r="E23" s="54"/>
    </row>
    <row r="24" spans="1:5" ht="15.75" thickBot="1" x14ac:dyDescent="0.3">
      <c r="A24" s="1" t="s">
        <v>31</v>
      </c>
      <c r="B24" s="46" t="s">
        <v>54</v>
      </c>
      <c r="C24" s="48"/>
      <c r="D24" s="8">
        <v>150000</v>
      </c>
      <c r="E24" s="8">
        <v>150000</v>
      </c>
    </row>
    <row r="25" spans="1:5" ht="15.75" thickBot="1" x14ac:dyDescent="0.3">
      <c r="A25" s="27" t="s">
        <v>47</v>
      </c>
      <c r="B25" s="28" t="s">
        <v>55</v>
      </c>
      <c r="C25" s="28"/>
      <c r="D25" s="30">
        <v>400</v>
      </c>
      <c r="E25" s="30">
        <v>400</v>
      </c>
    </row>
    <row r="26" spans="1:5" ht="15.75" thickBot="1" x14ac:dyDescent="0.3">
      <c r="A26" s="33" t="s">
        <v>56</v>
      </c>
      <c r="B26" s="28"/>
      <c r="C26" s="28"/>
      <c r="D26" s="30">
        <f>D6*60%</f>
        <v>106.56000000000002</v>
      </c>
      <c r="E26" s="30">
        <f>E6*60%</f>
        <v>76.8</v>
      </c>
    </row>
    <row r="27" spans="1:5" ht="15.75" thickBot="1" x14ac:dyDescent="0.3">
      <c r="A27" s="33" t="s">
        <v>57</v>
      </c>
      <c r="B27" s="28"/>
      <c r="C27" s="28"/>
      <c r="D27" s="30">
        <f>D8*70%</f>
        <v>31.08</v>
      </c>
      <c r="E27" s="30">
        <f>E8*70%</f>
        <v>25.2</v>
      </c>
    </row>
    <row r="28" spans="1:5" ht="15.75" thickBot="1" x14ac:dyDescent="0.3">
      <c r="A28" s="27" t="s">
        <v>58</v>
      </c>
      <c r="B28" s="28" t="s">
        <v>50</v>
      </c>
      <c r="C28" s="28"/>
      <c r="D28" s="30">
        <f>D25*(D26+D27)</f>
        <v>55056.000000000007</v>
      </c>
      <c r="E28" s="30">
        <f>E25*(E26+E27)</f>
        <v>40800</v>
      </c>
    </row>
    <row r="29" spans="1:5" ht="15.75" thickBot="1" x14ac:dyDescent="0.3">
      <c r="A29" s="27" t="s">
        <v>58</v>
      </c>
      <c r="B29" s="28"/>
      <c r="C29" s="28"/>
      <c r="D29" s="30">
        <f>D28/1000</f>
        <v>55.056000000000004</v>
      </c>
      <c r="E29" s="30">
        <f>E28/1000</f>
        <v>40.799999999999997</v>
      </c>
    </row>
    <row r="30" spans="1:5" ht="15.75" thickBot="1" x14ac:dyDescent="0.3">
      <c r="A30" s="27" t="s">
        <v>59</v>
      </c>
      <c r="B30" s="28"/>
      <c r="C30" s="28"/>
      <c r="D30" s="31">
        <f>(D29)/(20)*D24</f>
        <v>412920</v>
      </c>
      <c r="E30" s="31">
        <f>(E29)/(20)*E24</f>
        <v>306000</v>
      </c>
    </row>
    <row r="31" spans="1:5" ht="15.75" thickBot="1" x14ac:dyDescent="0.3">
      <c r="A31" s="53" t="s">
        <v>60</v>
      </c>
      <c r="B31" s="54"/>
      <c r="C31" s="54"/>
      <c r="D31" s="54"/>
      <c r="E31" s="54"/>
    </row>
    <row r="32" spans="1:5" ht="15.75" thickBot="1" x14ac:dyDescent="0.3">
      <c r="A32" s="1" t="s">
        <v>31</v>
      </c>
      <c r="B32" s="46" t="s">
        <v>61</v>
      </c>
      <c r="C32" s="48"/>
      <c r="D32" s="8">
        <f>65000</f>
        <v>65000</v>
      </c>
      <c r="E32" s="7">
        <f>D32</f>
        <v>65000</v>
      </c>
    </row>
    <row r="33" spans="1:5" ht="15.75" thickBot="1" x14ac:dyDescent="0.3">
      <c r="A33" s="27" t="s">
        <v>47</v>
      </c>
      <c r="B33" s="28" t="s">
        <v>62</v>
      </c>
      <c r="C33" s="28"/>
      <c r="D33">
        <f>300/1.5</f>
        <v>200</v>
      </c>
      <c r="E33">
        <f>300/1.5</f>
        <v>200</v>
      </c>
    </row>
    <row r="34" spans="1:5" x14ac:dyDescent="0.25">
      <c r="A34" s="27" t="s">
        <v>63</v>
      </c>
      <c r="B34" s="28" t="s">
        <v>64</v>
      </c>
      <c r="C34" s="28"/>
      <c r="D34" s="34">
        <f>D33*D9</f>
        <v>44400.000000000007</v>
      </c>
      <c r="E34" s="34">
        <f>E33*E9</f>
        <v>32800</v>
      </c>
    </row>
    <row r="35" spans="1:5" x14ac:dyDescent="0.25">
      <c r="A35" s="29" t="s">
        <v>65</v>
      </c>
      <c r="B35" t="s">
        <v>61</v>
      </c>
      <c r="D35" s="35">
        <f>D34/300*D32</f>
        <v>9620000.0000000019</v>
      </c>
      <c r="E35" s="35">
        <f>E34/300*E32</f>
        <v>7106666.666666666</v>
      </c>
    </row>
    <row r="39" spans="1:5" x14ac:dyDescent="0.25">
      <c r="B39" t="s">
        <v>66</v>
      </c>
      <c r="D39" s="9">
        <f>D35+D30+D22+D13+D10</f>
        <v>44378170.000000007</v>
      </c>
      <c r="E39" s="9">
        <f>E35+E30+E22+E13+E10</f>
        <v>32784833.333333332</v>
      </c>
    </row>
  </sheetData>
  <mergeCells count="25">
    <mergeCell ref="B18:C18"/>
    <mergeCell ref="B12:C12"/>
    <mergeCell ref="B15:C15"/>
    <mergeCell ref="B16:C16"/>
    <mergeCell ref="D1:E1"/>
    <mergeCell ref="B4:C4"/>
    <mergeCell ref="A3:E3"/>
    <mergeCell ref="A11:E11"/>
    <mergeCell ref="A14:E14"/>
    <mergeCell ref="B22:C22"/>
    <mergeCell ref="B24:C24"/>
    <mergeCell ref="A31:E31"/>
    <mergeCell ref="B32:C32"/>
    <mergeCell ref="B5:C5"/>
    <mergeCell ref="B6:C6"/>
    <mergeCell ref="B7:C7"/>
    <mergeCell ref="B8:C8"/>
    <mergeCell ref="B9:C9"/>
    <mergeCell ref="A23:E23"/>
    <mergeCell ref="B10:C10"/>
    <mergeCell ref="B13:C13"/>
    <mergeCell ref="B19:C19"/>
    <mergeCell ref="B20:C20"/>
    <mergeCell ref="B21:C21"/>
    <mergeCell ref="A17:E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6D82-8189-43D6-BCB3-A8BF3E764F22}">
  <dimension ref="A1:D22"/>
  <sheetViews>
    <sheetView workbookViewId="0">
      <selection activeCell="D3" sqref="D3"/>
    </sheetView>
  </sheetViews>
  <sheetFormatPr baseColWidth="10" defaultColWidth="11.42578125" defaultRowHeight="15" x14ac:dyDescent="0.25"/>
  <cols>
    <col min="1" max="3" width="34.140625" customWidth="1"/>
    <col min="4" max="4" width="27.140625" customWidth="1"/>
  </cols>
  <sheetData>
    <row r="1" spans="1:4" ht="15.75" thickBot="1" x14ac:dyDescent="0.3">
      <c r="C1" s="2" t="s">
        <v>11</v>
      </c>
    </row>
    <row r="2" spans="1:4" ht="15.75" thickBot="1" x14ac:dyDescent="0.3">
      <c r="A2" s="2" t="s">
        <v>67</v>
      </c>
      <c r="B2" s="2" t="s">
        <v>68</v>
      </c>
      <c r="C2" s="8">
        <v>6500000</v>
      </c>
    </row>
    <row r="3" spans="1:4" ht="15.75" thickBot="1" x14ac:dyDescent="0.3">
      <c r="A3" s="46" t="s">
        <v>69</v>
      </c>
      <c r="B3" s="47"/>
      <c r="C3" s="8">
        <f>C2*0.01</f>
        <v>65000</v>
      </c>
      <c r="D3" s="56"/>
    </row>
    <row r="4" spans="1:4" ht="15.75" thickBot="1" x14ac:dyDescent="0.3">
      <c r="A4" s="46" t="s">
        <v>9</v>
      </c>
      <c r="B4" s="47"/>
      <c r="C4" s="23">
        <f>PRODUCCIÓN!E7</f>
        <v>0.59381383133936383</v>
      </c>
      <c r="D4" s="23">
        <f>PRODUCCIÓN!F7</f>
        <v>0.40618616866063612</v>
      </c>
    </row>
    <row r="5" spans="1:4" x14ac:dyDescent="0.25">
      <c r="A5" s="46" t="s">
        <v>68</v>
      </c>
      <c r="B5" s="47"/>
      <c r="C5" s="39">
        <f>$C$3*C4</f>
        <v>38597.899037058647</v>
      </c>
      <c r="D5" s="39">
        <f>$C$3*D4</f>
        <v>26402.100962941349</v>
      </c>
    </row>
    <row r="7" spans="1:4" ht="15.75" thickBot="1" x14ac:dyDescent="0.3"/>
    <row r="8" spans="1:4" ht="15.75" thickBot="1" x14ac:dyDescent="0.3">
      <c r="C8" s="2" t="s">
        <v>11</v>
      </c>
    </row>
    <row r="9" spans="1:4" ht="15.75" thickBot="1" x14ac:dyDescent="0.3">
      <c r="A9" s="2" t="s">
        <v>67</v>
      </c>
      <c r="B9" s="2" t="s">
        <v>70</v>
      </c>
      <c r="C9" s="37">
        <v>22000000</v>
      </c>
    </row>
    <row r="10" spans="1:4" ht="15.75" thickBot="1" x14ac:dyDescent="0.3">
      <c r="A10" s="46" t="s">
        <v>71</v>
      </c>
      <c r="B10" s="47"/>
      <c r="C10" s="7">
        <f>$C$9/(15*12)</f>
        <v>122222.22222222222</v>
      </c>
    </row>
    <row r="11" spans="1:4" x14ac:dyDescent="0.25">
      <c r="A11" s="46" t="s">
        <v>9</v>
      </c>
      <c r="B11" s="47"/>
      <c r="C11" s="23">
        <f>PRODUCCIÓN!E7</f>
        <v>0.59381383133936383</v>
      </c>
      <c r="D11" s="23">
        <f>PRODUCCIÓN!F7</f>
        <v>0.40618616866063612</v>
      </c>
    </row>
    <row r="12" spans="1:4" x14ac:dyDescent="0.25">
      <c r="A12" s="55" t="s">
        <v>72</v>
      </c>
      <c r="B12" s="55"/>
      <c r="C12" s="38">
        <f>$C$10*C11</f>
        <v>72577.246052588904</v>
      </c>
      <c r="D12" s="38">
        <f>$C$10*D11</f>
        <v>49644.976169633301</v>
      </c>
    </row>
    <row r="14" spans="1:4" ht="15.75" thickBot="1" x14ac:dyDescent="0.3"/>
    <row r="15" spans="1:4" x14ac:dyDescent="0.25">
      <c r="A15" s="27" t="s">
        <v>73</v>
      </c>
      <c r="B15" s="2" t="s">
        <v>11</v>
      </c>
    </row>
    <row r="16" spans="1:4" x14ac:dyDescent="0.25">
      <c r="A16" s="17">
        <v>90000000</v>
      </c>
    </row>
    <row r="17" spans="1:3" ht="15.75" thickBot="1" x14ac:dyDescent="0.3">
      <c r="A17" s="4"/>
      <c r="B17" s="4"/>
    </row>
    <row r="18" spans="1:3" ht="15.75" thickBot="1" x14ac:dyDescent="0.3">
      <c r="A18" s="27" t="s">
        <v>74</v>
      </c>
      <c r="B18" s="10">
        <f>$A$16*C4</f>
        <v>53443244.820542745</v>
      </c>
      <c r="C18" s="10">
        <f>$A$16*D4</f>
        <v>36556755.179457247</v>
      </c>
    </row>
    <row r="19" spans="1:3" x14ac:dyDescent="0.25">
      <c r="A19" s="27" t="s">
        <v>75</v>
      </c>
      <c r="B19" s="10">
        <f>B18*3.82%</f>
        <v>2041531.9521447327</v>
      </c>
      <c r="C19" s="10">
        <f>C18*3.82%</f>
        <v>1396468.0478552668</v>
      </c>
    </row>
    <row r="20" spans="1:3" x14ac:dyDescent="0.25">
      <c r="A20" s="4"/>
      <c r="B20" s="4"/>
    </row>
    <row r="21" spans="1:3" ht="15.75" thickBot="1" x14ac:dyDescent="0.3">
      <c r="A21" s="4"/>
      <c r="B21" s="4"/>
    </row>
    <row r="22" spans="1:3" x14ac:dyDescent="0.25">
      <c r="A22" s="27" t="s">
        <v>76</v>
      </c>
      <c r="B22" s="36">
        <f>B19+C12+C5</f>
        <v>2152707.09723438</v>
      </c>
      <c r="C22" s="36">
        <f>C19+D12+D5</f>
        <v>1472515.1249878414</v>
      </c>
    </row>
  </sheetData>
  <mergeCells count="6">
    <mergeCell ref="A12:B12"/>
    <mergeCell ref="A3:B3"/>
    <mergeCell ref="A4:B4"/>
    <mergeCell ref="A5:B5"/>
    <mergeCell ref="A10:B10"/>
    <mergeCell ref="A11:B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0C4D-AFF4-4AB1-A6B8-5E337A886769}">
  <dimension ref="B3:F9"/>
  <sheetViews>
    <sheetView workbookViewId="0">
      <selection activeCell="F9" sqref="F9"/>
    </sheetView>
  </sheetViews>
  <sheetFormatPr baseColWidth="10" defaultColWidth="11.42578125" defaultRowHeight="15" x14ac:dyDescent="0.25"/>
  <cols>
    <col min="2" max="4" width="17.28515625" customWidth="1"/>
    <col min="6" max="6" width="25.42578125" bestFit="1" customWidth="1"/>
  </cols>
  <sheetData>
    <row r="3" spans="2:6" ht="15.75" thickBot="1" x14ac:dyDescent="0.3"/>
    <row r="4" spans="2:6" ht="15.75" thickBot="1" x14ac:dyDescent="0.3">
      <c r="B4" s="2" t="s">
        <v>77</v>
      </c>
      <c r="C4" s="1" t="s">
        <v>11</v>
      </c>
    </row>
    <row r="5" spans="2:6" ht="15.75" thickBot="1" x14ac:dyDescent="0.3">
      <c r="B5" s="2" t="s">
        <v>78</v>
      </c>
      <c r="C5" s="6">
        <v>2750000</v>
      </c>
    </row>
    <row r="6" spans="2:6" x14ac:dyDescent="0.25">
      <c r="B6" s="2" t="s">
        <v>79</v>
      </c>
      <c r="C6" s="6">
        <v>1830000</v>
      </c>
    </row>
    <row r="7" spans="2:6" ht="15.75" thickBot="1" x14ac:dyDescent="0.3">
      <c r="B7" s="24" t="s">
        <v>80</v>
      </c>
      <c r="C7" s="7">
        <f>SUM(C5:C6)</f>
        <v>4580000</v>
      </c>
    </row>
    <row r="8" spans="2:6" ht="15.75" thickBot="1" x14ac:dyDescent="0.3">
      <c r="B8" s="2" t="s">
        <v>81</v>
      </c>
      <c r="C8" s="40">
        <f>PRODUCCIÓN!E7</f>
        <v>0.59381383133936383</v>
      </c>
      <c r="D8" s="40">
        <f>PRODUCCIÓN!F7</f>
        <v>0.40618616866063612</v>
      </c>
    </row>
    <row r="9" spans="2:6" x14ac:dyDescent="0.25">
      <c r="B9" s="2" t="s">
        <v>82</v>
      </c>
      <c r="C9" s="41">
        <f>C8*$C$7</f>
        <v>2719667.3475342863</v>
      </c>
      <c r="D9" s="41">
        <f>D8*$C$7</f>
        <v>1860332.6524657134</v>
      </c>
      <c r="F9" s="43" t="s">
        <v>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0E87A-A732-41FD-AD93-BB67A5ADD2AB}">
  <dimension ref="C2:E16"/>
  <sheetViews>
    <sheetView topLeftCell="A3" workbookViewId="0">
      <selection activeCell="E9" sqref="E9"/>
    </sheetView>
  </sheetViews>
  <sheetFormatPr baseColWidth="10" defaultColWidth="11.42578125" defaultRowHeight="15" x14ac:dyDescent="0.25"/>
  <cols>
    <col min="3" max="5" width="24.5703125" customWidth="1"/>
  </cols>
  <sheetData>
    <row r="2" spans="3:5" ht="15.75" thickBot="1" x14ac:dyDescent="0.3"/>
    <row r="3" spans="3:5" x14ac:dyDescent="0.25">
      <c r="D3" s="44" t="s">
        <v>11</v>
      </c>
      <c r="E3" s="45"/>
    </row>
    <row r="4" spans="3:5" ht="15.75" thickBot="1" x14ac:dyDescent="0.3">
      <c r="D4" s="11" t="s">
        <v>2</v>
      </c>
      <c r="E4" s="12" t="s">
        <v>83</v>
      </c>
    </row>
    <row r="5" spans="3:5" ht="15.75" thickBot="1" x14ac:dyDescent="0.3">
      <c r="C5" s="13" t="s">
        <v>84</v>
      </c>
      <c r="D5" s="14">
        <f>PRODUCCIÓN!E6</f>
        <v>101750000</v>
      </c>
      <c r="E5" s="14">
        <f>PRODUCCIÓN!F6</f>
        <v>69600000</v>
      </c>
    </row>
    <row r="6" spans="3:5" ht="15.75" thickBot="1" x14ac:dyDescent="0.3"/>
    <row r="7" spans="3:5" x14ac:dyDescent="0.25">
      <c r="C7" s="1" t="s">
        <v>85</v>
      </c>
      <c r="D7" s="42">
        <f>'Recursos humanos'!E33</f>
        <v>28934766.559673183</v>
      </c>
      <c r="E7" s="15">
        <f>'Recursos humanos'!F33</f>
        <v>19792233.440326817</v>
      </c>
    </row>
    <row r="8" spans="3:5" x14ac:dyDescent="0.25">
      <c r="C8" s="16" t="s">
        <v>86</v>
      </c>
      <c r="D8" s="17">
        <f>Materia!D39</f>
        <v>44378170.000000007</v>
      </c>
      <c r="E8" s="17">
        <f>Materia!E39</f>
        <v>32784833.333333332</v>
      </c>
    </row>
    <row r="9" spans="3:5" x14ac:dyDescent="0.25">
      <c r="C9" s="16" t="s">
        <v>87</v>
      </c>
      <c r="D9" s="18">
        <f>Capital!B22</f>
        <v>2152707.09723438</v>
      </c>
      <c r="E9" s="18">
        <f>Capital!C22</f>
        <v>1472515.1249878414</v>
      </c>
    </row>
    <row r="10" spans="3:5" x14ac:dyDescent="0.25">
      <c r="C10" s="16" t="s">
        <v>88</v>
      </c>
      <c r="D10" s="10">
        <f>Energia!C9</f>
        <v>2719667.3475342863</v>
      </c>
      <c r="E10" s="10">
        <f>Energia!D9</f>
        <v>1860332.6524657134</v>
      </c>
    </row>
    <row r="11" spans="3:5" ht="15.75" thickBot="1" x14ac:dyDescent="0.3">
      <c r="C11" s="19" t="s">
        <v>89</v>
      </c>
      <c r="D11" s="20">
        <v>0</v>
      </c>
      <c r="E11" s="20">
        <v>0</v>
      </c>
    </row>
    <row r="13" spans="3:5" x14ac:dyDescent="0.25">
      <c r="C13" s="21" t="s">
        <v>90</v>
      </c>
      <c r="D13" s="22">
        <f>SUM(D7:D10)</f>
        <v>78185311.004441857</v>
      </c>
      <c r="E13" s="22">
        <f>SUM(E7:E10)</f>
        <v>55909914.55111371</v>
      </c>
    </row>
    <row r="14" spans="3:5" x14ac:dyDescent="0.25">
      <c r="C14" s="21" t="s">
        <v>91</v>
      </c>
      <c r="D14" s="4">
        <f>D5/D13</f>
        <v>1.3013953477043712</v>
      </c>
      <c r="E14" s="4">
        <f>E5/E13</f>
        <v>1.2448597097455874</v>
      </c>
    </row>
    <row r="16" spans="3:5" x14ac:dyDescent="0.25">
      <c r="C16" s="24" t="s">
        <v>92</v>
      </c>
      <c r="D16" s="4">
        <f>(D5+E5)/(D13+E13)</f>
        <v>1.2778232729025076</v>
      </c>
    </row>
  </sheetData>
  <mergeCells count="1">
    <mergeCell ref="D3: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44E8D8F486AA4DA216AD91C80D8588" ma:contentTypeVersion="10" ma:contentTypeDescription="Create a new document." ma:contentTypeScope="" ma:versionID="9933af3d7e17ed0523d788be9d5e5e8a">
  <xsd:schema xmlns:xsd="http://www.w3.org/2001/XMLSchema" xmlns:xs="http://www.w3.org/2001/XMLSchema" xmlns:p="http://schemas.microsoft.com/office/2006/metadata/properties" xmlns:ns2="047a4179-edde-4a8f-9856-6daf69a20396" xmlns:ns3="b1f45ad0-adb6-418c-833b-0dd70b2ddde3" targetNamespace="http://schemas.microsoft.com/office/2006/metadata/properties" ma:root="true" ma:fieldsID="8560faf0bcc6334aaf409b6fa971f476" ns2:_="" ns3:_="">
    <xsd:import namespace="047a4179-edde-4a8f-9856-6daf69a20396"/>
    <xsd:import namespace="b1f45ad0-adb6-418c-833b-0dd70b2ddde3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7a4179-edde-4a8f-9856-6daf69a20396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33c0cd0c-c90a-4e91-8fc7-b7b215ba5ee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f45ad0-adb6-418c-833b-0dd70b2ddde3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805f5e2e-c039-4422-8569-18e417a89a30}" ma:internalName="TaxCatchAll" ma:showField="CatchAllData" ma:web="b1f45ad0-adb6-418c-833b-0dd70b2ddd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047a4179-edde-4a8f-9856-6daf69a20396" xsi:nil="true"/>
    <TaxCatchAll xmlns="b1f45ad0-adb6-418c-833b-0dd70b2ddde3" xsi:nil="true"/>
    <lcf76f155ced4ddcb4097134ff3c332f xmlns="047a4179-edde-4a8f-9856-6daf69a2039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B75EB1-270F-47FF-954E-0484CE7114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7a4179-edde-4a8f-9856-6daf69a20396"/>
    <ds:schemaRef ds:uri="b1f45ad0-adb6-418c-833b-0dd70b2ddd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EDE1436-B51A-4B41-A514-D5D2DC7BFB07}">
  <ds:schemaRefs>
    <ds:schemaRef ds:uri="http://schemas.microsoft.com/office/2006/metadata/properties"/>
    <ds:schemaRef ds:uri="http://schemas.microsoft.com/office/infopath/2007/PartnerControls"/>
    <ds:schemaRef ds:uri="047a4179-edde-4a8f-9856-6daf69a20396"/>
    <ds:schemaRef ds:uri="b1f45ad0-adb6-418c-833b-0dd70b2ddde3"/>
  </ds:schemaRefs>
</ds:datastoreItem>
</file>

<file path=customXml/itemProps3.xml><?xml version="1.0" encoding="utf-8"?>
<ds:datastoreItem xmlns:ds="http://schemas.openxmlformats.org/officeDocument/2006/customXml" ds:itemID="{F84A9FB8-7BD4-49AC-8775-4FFEB3B34A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PRODUCCIÓN</vt:lpstr>
      <vt:lpstr>Recursos humanos</vt:lpstr>
      <vt:lpstr>Materia</vt:lpstr>
      <vt:lpstr>Capital</vt:lpstr>
      <vt:lpstr>Energia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Nestor Andres Tabares David</dc:creator>
  <cp:keywords/>
  <dc:description/>
  <cp:lastModifiedBy>SAUDITH DAVID BECERRA</cp:lastModifiedBy>
  <cp:revision/>
  <dcterms:created xsi:type="dcterms:W3CDTF">2023-03-01T19:16:58Z</dcterms:created>
  <dcterms:modified xsi:type="dcterms:W3CDTF">2025-01-03T20:27:39Z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0x0101009044E8D8F486AA4DA216AD91C80D8588</vt:lpwstr>
  </property>
</Properties>
</file>